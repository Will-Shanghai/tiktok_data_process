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460"/>
  </bookViews>
  <sheets>
    <sheet name="Weekly Summary" sheetId="1" r:id="rId1"/>
    <sheet name="Category Aggregation" sheetId="2" r:id="rId2"/>
    <sheet name="Quantity Pivot" sheetId="3" r:id="rId3"/>
    <sheet name="Sample Statistic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<sst xmlns="http://schemas.openxmlformats.org/spreadsheetml/2006/main" count="71" uniqueCount="38">
  <si>
    <t>文件名称</t>
  </si>
  <si>
    <t>订单日期</t>
  </si>
  <si>
    <t>销售总额(N+P)</t>
  </si>
  <si>
    <t>汇率后</t>
  </si>
  <si>
    <t>P列折后价总和</t>
  </si>
  <si>
    <t>售出产品成本总和</t>
  </si>
  <si>
    <t>物流成本总和</t>
  </si>
  <si>
    <t>寄样支出总和</t>
  </si>
  <si>
    <t>越南本土店-2月份.csv</t>
  </si>
  <si>
    <t>28/02/2026</t>
  </si>
  <si>
    <t>越南本土店-3月份.csv</t>
  </si>
  <si>
    <t>31/03/2026</t>
  </si>
  <si>
    <t>越南本土店-4月份.csv</t>
  </si>
  <si>
    <t>30/04/2026</t>
  </si>
  <si>
    <t>越南本土-5月份.csv</t>
  </si>
  <si>
    <t>31/05/2026</t>
  </si>
  <si>
    <t>日期</t>
  </si>
  <si>
    <t>大类</t>
  </si>
  <si>
    <t>销售额</t>
  </si>
  <si>
    <t>汇率后(销售额)</t>
  </si>
  <si>
    <t>P列折后价</t>
  </si>
  <si>
    <t>产品成本</t>
  </si>
  <si>
    <t>物流成本</t>
  </si>
  <si>
    <t>寄样支出</t>
  </si>
  <si>
    <t>未分类</t>
  </si>
  <si>
    <t>身体乳</t>
  </si>
  <si>
    <t>身体乳300ml</t>
  </si>
  <si>
    <t>防晒霜</t>
  </si>
  <si>
    <t>商品名称</t>
  </si>
  <si>
    <t>身体乳300ml单瓶</t>
  </si>
  <si>
    <t>身体乳300ml双瓶</t>
  </si>
  <si>
    <t>身体乳单瓶</t>
  </si>
  <si>
    <t>身体乳双瓶</t>
  </si>
  <si>
    <t>身体乳三瓶</t>
  </si>
  <si>
    <t>防晒霜单瓶</t>
  </si>
  <si>
    <t>新产品(待核实)</t>
  </si>
  <si>
    <t>汇总</t>
  </si>
  <si>
    <t>总样品数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</si>
</sst>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" fontId="1" fillId="2" borderId="1" xfId="0" applyNumberFormat="1" applyFont="1" applyFill="1" applyBorder="1" applyAlignment="1">
      <alignment horizontal="center" vertical="center"/>
    </xf>
    <xf numFmtId="4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9"/>
  <sheetViews>
    <sheetView tabSelected="1" workbookViewId="0">
      <selection activeCell="G4" sqref="G4"/>
    </sheetView>
  </sheetViews>
  <sheetFormatPr defaultColWidth="9" defaultRowHeight="16.8"/>
  <cols>
    <col min="3" max="3" width="12.9230769230769"/>
    <col min="5" max="5" width="9.30769230769231"/>
    <col min="6" max="6" width="14.076923076923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10">
      <c r="A2" t="s">
        <v>8</v>
      </c>
      <c r="B2" t="s">
        <v>9</v>
      </c>
      <c r="C2">
        <v>4050520</v>
      </c>
      <c r="D2">
        <v>1043.14</v>
      </c>
      <c r="E2">
        <v>4009535</v>
      </c>
      <c r="F2">
        <v>322.93</v>
      </c>
      <c r="G2">
        <v>186.54</v>
      </c>
      <c r="H2">
        <v>882.7</v>
      </c>
      <c r="J2">
        <v>41</v>
      </c>
    </row>
    <row r="3" spans="1:10">
      <c r="A3" t="s">
        <v>10</v>
      </c>
      <c r="B3" t="s">
        <v>11</v>
      </c>
      <c r="C3">
        <v>11950278</v>
      </c>
      <c r="D3">
        <v>3077.59</v>
      </c>
      <c r="E3">
        <v>11511591</v>
      </c>
      <c r="F3">
        <v>1384.94</v>
      </c>
      <c r="G3">
        <v>855.34</v>
      </c>
      <c r="H3">
        <v>1201.96</v>
      </c>
      <c r="J3">
        <v>155</v>
      </c>
    </row>
    <row r="4" spans="1:10">
      <c r="A4" t="s">
        <v>12</v>
      </c>
      <c r="B4" t="s">
        <v>13</v>
      </c>
      <c r="C4">
        <v>21846684</v>
      </c>
      <c r="D4">
        <v>5626.24</v>
      </c>
      <c r="E4">
        <v>20976710</v>
      </c>
      <c r="F4">
        <v>2459.48</v>
      </c>
      <c r="G4">
        <v>1409.26</v>
      </c>
      <c r="H4">
        <v>1149.96</v>
      </c>
      <c r="J4">
        <v>212</v>
      </c>
    </row>
    <row r="5" spans="1:10">
      <c r="A5" t="s">
        <v>14</v>
      </c>
      <c r="B5" t="s">
        <v>15</v>
      </c>
      <c r="C5">
        <v>18906879</v>
      </c>
      <c r="D5">
        <v>4869.14</v>
      </c>
      <c r="E5">
        <v>18181021</v>
      </c>
      <c r="F5">
        <v>2018.49</v>
      </c>
      <c r="G5">
        <v>1151.12</v>
      </c>
      <c r="H5">
        <v>1031.84</v>
      </c>
      <c r="J5">
        <v>191</v>
      </c>
    </row>
    <row r="6" spans="1:10">
      <c r="C6">
        <f>C2/J2</f>
        <v>98793.1707317073</v>
      </c>
      <c r="E6" s="1">
        <v>-692.3</v>
      </c>
      <c r="F6">
        <f>E6/J2</f>
        <v>-16.8853658536585</v>
      </c>
    </row>
    <row r="7" spans="1:10">
      <c r="C7">
        <f>C3/J3</f>
        <v>77098.5677419355</v>
      </c>
      <c r="E7" s="2">
        <v>-2603.29</v>
      </c>
      <c r="F7">
        <f>E7/J3</f>
        <v>-16.7954193548387</v>
      </c>
    </row>
    <row r="8" spans="1:10">
      <c r="C8">
        <f>C4/J4</f>
        <v>103050.396226415</v>
      </c>
      <c r="E8" s="2">
        <v>-3407.23</v>
      </c>
      <c r="F8">
        <f>E8/J4</f>
        <v>-16.0718396226415</v>
      </c>
    </row>
    <row r="9" spans="1:10">
      <c r="C9">
        <f>C5/J5</f>
        <v>98988.8952879581</v>
      </c>
      <c r="E9" s="3">
        <v>-2341.14</v>
      </c>
      <c r="F9">
        <f>E9/J5</f>
        <v>-12.257277486911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A1" sqref="A1"/>
    </sheetView>
  </sheetViews>
  <sheetFormatPr defaultColWidth="9" defaultRowHeight="16.8" outlineLevelCol="7"/>
  <sheetData>
    <row r="1" spans="1:8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</row>
    <row r="2" spans="1:8">
      <c r="A2" t="s">
        <v>9</v>
      </c>
      <c r="B2" t="s">
        <v>24</v>
      </c>
      <c r="C2">
        <v>119999</v>
      </c>
      <c r="D2">
        <v>30.9</v>
      </c>
      <c r="E2">
        <v>119999</v>
      </c>
      <c r="F2">
        <v>0</v>
      </c>
      <c r="G2">
        <v>0</v>
      </c>
      <c r="H2">
        <v>0</v>
      </c>
    </row>
    <row r="3" spans="1:8">
      <c r="A3" t="s">
        <v>9</v>
      </c>
      <c r="B3" t="s">
        <v>25</v>
      </c>
      <c r="C3">
        <v>2424622</v>
      </c>
      <c r="D3">
        <v>624.42</v>
      </c>
      <c r="E3">
        <v>2424622</v>
      </c>
      <c r="F3">
        <v>271.44</v>
      </c>
      <c r="G3">
        <v>154.97</v>
      </c>
      <c r="H3">
        <v>444.98</v>
      </c>
    </row>
    <row r="4" spans="1:8">
      <c r="A4" t="s">
        <v>9</v>
      </c>
      <c r="B4" t="s">
        <v>26</v>
      </c>
      <c r="C4">
        <v>1421899</v>
      </c>
      <c r="D4">
        <v>366.19</v>
      </c>
      <c r="E4">
        <v>1380914</v>
      </c>
      <c r="F4">
        <v>43.12</v>
      </c>
      <c r="G4">
        <v>28.42</v>
      </c>
      <c r="H4">
        <v>437.72</v>
      </c>
    </row>
    <row r="5" spans="1:8">
      <c r="A5" t="s">
        <v>9</v>
      </c>
      <c r="B5" t="s">
        <v>27</v>
      </c>
      <c r="C5">
        <v>84000</v>
      </c>
      <c r="D5">
        <v>21.63</v>
      </c>
      <c r="E5">
        <v>84000</v>
      </c>
      <c r="F5">
        <v>8.37</v>
      </c>
      <c r="G5">
        <v>3.15</v>
      </c>
      <c r="H5">
        <v>0</v>
      </c>
    </row>
    <row r="6" spans="1:8">
      <c r="A6" t="s">
        <v>11</v>
      </c>
      <c r="B6" t="s">
        <v>25</v>
      </c>
      <c r="C6">
        <v>9703143</v>
      </c>
      <c r="D6">
        <v>2498.88</v>
      </c>
      <c r="E6">
        <v>9472128</v>
      </c>
      <c r="F6">
        <v>1254.24</v>
      </c>
      <c r="G6">
        <v>773.93</v>
      </c>
      <c r="H6">
        <v>608.92</v>
      </c>
    </row>
    <row r="7" spans="1:8">
      <c r="A7" t="s">
        <v>11</v>
      </c>
      <c r="B7" t="s">
        <v>26</v>
      </c>
      <c r="C7">
        <v>2079135</v>
      </c>
      <c r="D7">
        <v>535.45</v>
      </c>
      <c r="E7">
        <v>1871463</v>
      </c>
      <c r="F7">
        <v>113.96</v>
      </c>
      <c r="G7">
        <v>75.11</v>
      </c>
      <c r="H7">
        <v>593.04</v>
      </c>
    </row>
    <row r="8" spans="1:8">
      <c r="A8" t="s">
        <v>11</v>
      </c>
      <c r="B8" t="s">
        <v>27</v>
      </c>
      <c r="C8">
        <v>168000</v>
      </c>
      <c r="D8">
        <v>43.27</v>
      </c>
      <c r="E8">
        <v>168000</v>
      </c>
      <c r="F8">
        <v>16.74</v>
      </c>
      <c r="G8">
        <v>6.3</v>
      </c>
      <c r="H8">
        <v>0</v>
      </c>
    </row>
    <row r="9" spans="1:8">
      <c r="A9" t="s">
        <v>13</v>
      </c>
      <c r="B9" t="s">
        <v>25</v>
      </c>
      <c r="C9">
        <v>19791700</v>
      </c>
      <c r="D9">
        <v>5097.01</v>
      </c>
      <c r="E9">
        <v>19120428</v>
      </c>
      <c r="F9">
        <v>2321.28</v>
      </c>
      <c r="G9">
        <v>1327.64</v>
      </c>
      <c r="H9">
        <v>655.76</v>
      </c>
    </row>
    <row r="10" spans="1:8">
      <c r="A10" t="s">
        <v>13</v>
      </c>
      <c r="B10" t="s">
        <v>26</v>
      </c>
      <c r="C10">
        <v>1718984</v>
      </c>
      <c r="D10">
        <v>442.69</v>
      </c>
      <c r="E10">
        <v>1520282</v>
      </c>
      <c r="F10">
        <v>104.72</v>
      </c>
      <c r="G10">
        <v>69.02</v>
      </c>
      <c r="H10">
        <v>494.2</v>
      </c>
    </row>
    <row r="11" spans="1:8">
      <c r="A11" t="s">
        <v>13</v>
      </c>
      <c r="B11" t="s">
        <v>27</v>
      </c>
      <c r="C11">
        <v>336000</v>
      </c>
      <c r="D11">
        <v>86.53</v>
      </c>
      <c r="E11">
        <v>336000</v>
      </c>
      <c r="F11">
        <v>33.48</v>
      </c>
      <c r="G11">
        <v>12.6</v>
      </c>
      <c r="H11">
        <v>0</v>
      </c>
    </row>
    <row r="12" spans="1:8">
      <c r="A12" t="s">
        <v>15</v>
      </c>
      <c r="B12" t="s">
        <v>25</v>
      </c>
      <c r="C12">
        <v>15917538</v>
      </c>
      <c r="D12">
        <v>4099.29</v>
      </c>
      <c r="E12">
        <v>15380289</v>
      </c>
      <c r="F12">
        <v>1834.56</v>
      </c>
      <c r="G12">
        <v>1032.26</v>
      </c>
      <c r="H12">
        <v>749.44</v>
      </c>
    </row>
    <row r="13" spans="1:8">
      <c r="A13" t="s">
        <v>15</v>
      </c>
      <c r="B13" t="s">
        <v>26</v>
      </c>
      <c r="C13">
        <v>2905341</v>
      </c>
      <c r="D13">
        <v>748.22</v>
      </c>
      <c r="E13">
        <v>2716732</v>
      </c>
      <c r="F13">
        <v>175.56</v>
      </c>
      <c r="G13">
        <v>115.71</v>
      </c>
      <c r="H13">
        <v>282.4</v>
      </c>
    </row>
    <row r="14" spans="1:8">
      <c r="A14" t="s">
        <v>15</v>
      </c>
      <c r="B14" t="s">
        <v>27</v>
      </c>
      <c r="C14">
        <v>84000</v>
      </c>
      <c r="D14">
        <v>21.63</v>
      </c>
      <c r="E14">
        <v>84000</v>
      </c>
      <c r="F14">
        <v>8.37</v>
      </c>
      <c r="G14">
        <v>3.15</v>
      </c>
      <c r="H14">
        <v>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"/>
  <sheetViews>
    <sheetView workbookViewId="0">
      <selection activeCell="B9" sqref="B9:E9"/>
    </sheetView>
  </sheetViews>
  <sheetFormatPr defaultColWidth="9" defaultRowHeight="16.8" outlineLevelCol="4"/>
  <sheetData>
    <row r="1" spans="1:5">
      <c r="A1" t="s">
        <v>28</v>
      </c>
      <c r="B1" t="s">
        <v>9</v>
      </c>
      <c r="C1" t="s">
        <v>11</v>
      </c>
      <c r="D1" t="s">
        <v>13</v>
      </c>
      <c r="E1" t="s">
        <v>15</v>
      </c>
    </row>
    <row r="2" spans="1:5">
      <c r="A2" t="s">
        <v>29</v>
      </c>
      <c r="B2">
        <v>14</v>
      </c>
      <c r="C2">
        <v>37</v>
      </c>
      <c r="D2">
        <v>34</v>
      </c>
      <c r="E2">
        <v>57</v>
      </c>
    </row>
    <row r="3" spans="1:5">
      <c r="A3" t="s">
        <v>30</v>
      </c>
      <c r="B3">
        <v>5</v>
      </c>
      <c r="C3">
        <v>3</v>
      </c>
      <c r="D3">
        <v>2</v>
      </c>
      <c r="E3">
        <v>3</v>
      </c>
    </row>
    <row r="4" spans="1:5">
      <c r="A4" t="s">
        <v>31</v>
      </c>
      <c r="B4">
        <v>14</v>
      </c>
      <c r="C4">
        <v>98</v>
      </c>
      <c r="D4">
        <v>120</v>
      </c>
      <c r="E4">
        <v>84</v>
      </c>
    </row>
    <row r="5" spans="1:5">
      <c r="A5" t="s">
        <v>32</v>
      </c>
      <c r="B5">
        <v>3</v>
      </c>
      <c r="C5">
        <v>9</v>
      </c>
      <c r="D5">
        <v>28</v>
      </c>
      <c r="E5">
        <v>26</v>
      </c>
    </row>
    <row r="6" spans="1:5">
      <c r="A6" t="s">
        <v>33</v>
      </c>
      <c r="B6">
        <v>3</v>
      </c>
      <c r="C6">
        <v>6</v>
      </c>
      <c r="D6">
        <v>24</v>
      </c>
      <c r="E6">
        <v>20</v>
      </c>
    </row>
    <row r="7" spans="1:5">
      <c r="A7" t="s">
        <v>34</v>
      </c>
      <c r="B7">
        <v>1</v>
      </c>
      <c r="C7">
        <v>2</v>
      </c>
      <c r="D7">
        <v>4</v>
      </c>
      <c r="E7">
        <v>1</v>
      </c>
    </row>
    <row r="8" spans="1:5">
      <c r="A8" t="s">
        <v>35</v>
      </c>
      <c r="B8">
        <v>1</v>
      </c>
      <c r="C8">
        <v>0</v>
      </c>
      <c r="D8">
        <v>0</v>
      </c>
      <c r="E8">
        <v>0</v>
      </c>
    </row>
    <row r="9" spans="1:5">
      <c r="A9" t="s">
        <v>36</v>
      </c>
      <c r="B9">
        <v>41</v>
      </c>
      <c r="C9">
        <v>155</v>
      </c>
      <c r="D9">
        <v>212</v>
      </c>
      <c r="E9">
        <v>191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"/>
  <sheetViews>
    <sheetView workbookViewId="0">
      <selection activeCell="A1" sqref="A1"/>
    </sheetView>
  </sheetViews>
  <sheetFormatPr defaultColWidth="9" defaultRowHeight="16.8" outlineLevelRow="2" outlineLevelCol="5"/>
  <sheetData>
    <row r="1" spans="1:6">
      <c r="A1" t="s">
        <v>28</v>
      </c>
      <c r="B1" t="s">
        <v>9</v>
      </c>
      <c r="C1" t="s">
        <v>11</v>
      </c>
      <c r="D1" t="s">
        <v>13</v>
      </c>
      <c r="E1" t="s">
        <v>15</v>
      </c>
      <c r="F1" t="s">
        <v>37</v>
      </c>
    </row>
    <row r="2" spans="1:6">
      <c r="A2" t="s">
        <v>29</v>
      </c>
      <c r="B2">
        <v>31</v>
      </c>
      <c r="C2">
        <v>42</v>
      </c>
      <c r="D2">
        <v>35</v>
      </c>
      <c r="E2">
        <v>20</v>
      </c>
      <c r="F2">
        <v>128</v>
      </c>
    </row>
    <row r="3" spans="1:6">
      <c r="A3" t="s">
        <v>31</v>
      </c>
      <c r="B3">
        <v>19</v>
      </c>
      <c r="C3">
        <v>26</v>
      </c>
      <c r="D3">
        <v>28</v>
      </c>
      <c r="E3">
        <v>32</v>
      </c>
      <c r="F3">
        <v>105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Weekly Summary</vt:lpstr>
      <vt:lpstr>Category Aggregation</vt:lpstr>
      <vt:lpstr>Quantity Pivot</vt:lpstr>
      <vt:lpstr>Sample Statistics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张洁</cp:lastModifiedBy>
  <dcterms:created xsi:type="dcterms:W3CDTF">2026-06-08T20:53:00Z</dcterms:created>
  <dcterms:modified xsi:type="dcterms:W3CDTF">2026-06-08T21:31:56Z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7A41EAF5FDF0E82629C4266A3E2F3198_42</vt:lpwstr>
  </property>
  <property fmtid="{D5CDD505-2E9C-101B-9397-08002B2CF9AE}" pid="3" name="KSOProductBuildVer">
    <vt:lpwstr>2052-12.1.25895.25895</vt:lpwstr>
  </property>
  <property fmtid="{D5CDD505-2E9C-101B-9397-08002B2CF9AE}" pid="4" name="CalculationRule">
    <vt:i4>0</vt:i4>
  </property>
</Properties>
</file>