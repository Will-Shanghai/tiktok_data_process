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400"/>
  </bookViews>
  <sheets>
    <sheet name="Weekly Summary" sheetId="1" r:id="rId1"/>
    <sheet name="Category Aggregation" sheetId="2" r:id="rId2"/>
    <sheet name="Quantity Pivot" sheetId="3" r:id="rId3"/>
    <sheet name="Sample Statistics" sheetId="4" r:id="rId4"/>
  </sheets>
  <definedNames>
    <definedName name="_xlnm._FilterDatabase" localSheetId="1" hidden="1">'Category Aggregation'!$A$1:$H$11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<sst xmlns="http://schemas.openxmlformats.org/spreadsheetml/2006/main" count="58" uniqueCount="33">
  <si>
    <t>文件名称</t>
  </si>
  <si>
    <t>订单日期</t>
  </si>
  <si>
    <t>销售总额(N+P)</t>
  </si>
  <si>
    <t>汇率后</t>
  </si>
  <si>
    <t>P列折后价总和</t>
  </si>
  <si>
    <t>售出产品成本总和</t>
  </si>
  <si>
    <t>物流成本总和</t>
  </si>
  <si>
    <t>寄样支出总和</t>
  </si>
  <si>
    <t>越南本土店-2月份.csv</t>
  </si>
  <si>
    <t>28/02/2026</t>
  </si>
  <si>
    <t>越南本土店-3月份.csv</t>
  </si>
  <si>
    <t>31/03/2026</t>
  </si>
  <si>
    <t>越南本土店-4月份.csv</t>
  </si>
  <si>
    <t>30/04/2026</t>
  </si>
  <si>
    <t>日期</t>
  </si>
  <si>
    <t>大类</t>
  </si>
  <si>
    <t>销售额</t>
  </si>
  <si>
    <t>汇率后(销售额)</t>
  </si>
  <si>
    <t>P列折后价</t>
  </si>
  <si>
    <t>产品成本</t>
  </si>
  <si>
    <t>物流成本</t>
  </si>
  <si>
    <t>寄样支出</t>
  </si>
  <si>
    <t>未分类</t>
  </si>
  <si>
    <t>身体乳</t>
  </si>
  <si>
    <t>身体乳300ml</t>
  </si>
  <si>
    <t>防晒霜</t>
  </si>
  <si>
    <t>商品名称</t>
  </si>
  <si>
    <t>身体乳300ml单瓶</t>
  </si>
  <si>
    <t>身体乳单瓶</t>
  </si>
  <si>
    <t>身体乳双瓶</t>
  </si>
  <si>
    <t>身体乳三瓶</t>
  </si>
  <si>
    <t>汇总</t>
  </si>
  <si>
    <t>总样品数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</si>
</sst>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tabSelected="1" workbookViewId="0">
      <selection activeCell="N11" sqref="N11"/>
    </sheetView>
  </sheetViews>
  <sheetFormatPr defaultColWidth="9" defaultRowHeight="16.8" outlineLevelRow="3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4050520</v>
      </c>
      <c r="D2">
        <v>1125.14</v>
      </c>
      <c r="E2">
        <v>4009535</v>
      </c>
      <c r="F2">
        <v>322.93</v>
      </c>
      <c r="G2">
        <v>186.54</v>
      </c>
      <c r="H2">
        <v>882.7</v>
      </c>
    </row>
    <row r="3" spans="1:8">
      <c r="A3" t="s">
        <v>10</v>
      </c>
      <c r="B3" t="s">
        <v>11</v>
      </c>
      <c r="C3">
        <v>11950278</v>
      </c>
      <c r="D3">
        <v>3319.52</v>
      </c>
      <c r="E3">
        <v>11511591</v>
      </c>
      <c r="F3">
        <v>1384.94</v>
      </c>
      <c r="G3">
        <v>855.34</v>
      </c>
      <c r="H3">
        <v>1201.96</v>
      </c>
    </row>
    <row r="4" spans="1:8">
      <c r="A4" t="s">
        <v>12</v>
      </c>
      <c r="B4" t="s">
        <v>13</v>
      </c>
      <c r="C4">
        <v>21846684</v>
      </c>
      <c r="D4">
        <v>6068.52</v>
      </c>
      <c r="E4">
        <v>20976710</v>
      </c>
      <c r="F4">
        <v>2459.48</v>
      </c>
      <c r="G4">
        <v>1409.26</v>
      </c>
      <c r="H4">
        <v>1149.96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I11"/>
  <sheetViews>
    <sheetView workbookViewId="0">
      <selection activeCell="I3" sqref="I3:I9"/>
    </sheetView>
  </sheetViews>
  <sheetFormatPr defaultColWidth="9" defaultRowHeight="16.8"/>
  <cols>
    <col min="1" max="1" width="12.0769230769231" customWidth="1"/>
    <col min="2" max="2" width="13.8461538461538" customWidth="1"/>
    <col min="9" max="9" width="12.9230769230769"/>
  </cols>
  <sheetData>
    <row r="1" spans="1:9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</row>
    <row r="2" hidden="1" spans="1:9">
      <c r="A2" t="s">
        <v>9</v>
      </c>
      <c r="B2" t="s">
        <v>22</v>
      </c>
      <c r="C2">
        <v>119999</v>
      </c>
      <c r="D2">
        <v>33.33</v>
      </c>
      <c r="E2">
        <v>119999</v>
      </c>
      <c r="F2">
        <v>0</v>
      </c>
      <c r="G2">
        <v>0</v>
      </c>
      <c r="H2">
        <v>0</v>
      </c>
    </row>
    <row r="3" spans="1:9">
      <c r="A3" t="s">
        <v>9</v>
      </c>
      <c r="B3" t="s">
        <v>23</v>
      </c>
      <c r="C3">
        <v>2424622</v>
      </c>
      <c r="D3">
        <v>673.51</v>
      </c>
      <c r="E3">
        <v>2424622</v>
      </c>
      <c r="F3">
        <v>271.44</v>
      </c>
      <c r="G3">
        <v>154.97</v>
      </c>
      <c r="H3">
        <v>444.98</v>
      </c>
      <c r="I3">
        <f>C3/34</f>
        <v>71312.4117647059</v>
      </c>
    </row>
    <row r="4" hidden="1" spans="1:9">
      <c r="A4" t="s">
        <v>9</v>
      </c>
      <c r="B4" t="s">
        <v>24</v>
      </c>
      <c r="C4">
        <v>1421899</v>
      </c>
      <c r="D4">
        <v>394.97</v>
      </c>
      <c r="E4">
        <v>1380914</v>
      </c>
      <c r="F4">
        <v>43.12</v>
      </c>
      <c r="G4">
        <v>28.42</v>
      </c>
      <c r="H4">
        <v>437.72</v>
      </c>
    </row>
    <row r="5" hidden="1" spans="1:9">
      <c r="A5" t="s">
        <v>9</v>
      </c>
      <c r="B5" t="s">
        <v>25</v>
      </c>
      <c r="C5">
        <v>84000</v>
      </c>
      <c r="D5">
        <v>23.33</v>
      </c>
      <c r="E5">
        <v>84000</v>
      </c>
      <c r="F5">
        <v>8.37</v>
      </c>
      <c r="G5">
        <v>3.15</v>
      </c>
      <c r="H5">
        <v>0</v>
      </c>
    </row>
    <row r="6" spans="1:9">
      <c r="A6" t="s">
        <v>11</v>
      </c>
      <c r="B6" t="s">
        <v>23</v>
      </c>
      <c r="C6">
        <v>9703143</v>
      </c>
      <c r="D6">
        <v>2695.32</v>
      </c>
      <c r="E6">
        <v>9472128</v>
      </c>
      <c r="F6">
        <v>1254.24</v>
      </c>
      <c r="G6">
        <v>773.93</v>
      </c>
      <c r="H6">
        <v>608.92</v>
      </c>
      <c r="I6">
        <f>C6/150</f>
        <v>64687.62</v>
      </c>
    </row>
    <row r="7" hidden="1" spans="1:9">
      <c r="A7" t="s">
        <v>11</v>
      </c>
      <c r="B7" t="s">
        <v>24</v>
      </c>
      <c r="C7">
        <v>2079135</v>
      </c>
      <c r="D7">
        <v>577.54</v>
      </c>
      <c r="E7">
        <v>1871463</v>
      </c>
      <c r="F7">
        <v>113.96</v>
      </c>
      <c r="G7">
        <v>75.11</v>
      </c>
      <c r="H7">
        <v>593.04</v>
      </c>
    </row>
    <row r="8" hidden="1" spans="1:9">
      <c r="A8" t="s">
        <v>11</v>
      </c>
      <c r="B8" t="s">
        <v>25</v>
      </c>
      <c r="C8">
        <v>168000</v>
      </c>
      <c r="D8">
        <v>46.67</v>
      </c>
      <c r="E8">
        <v>168000</v>
      </c>
      <c r="F8">
        <v>16.74</v>
      </c>
      <c r="G8">
        <v>6.3</v>
      </c>
      <c r="H8">
        <v>0</v>
      </c>
    </row>
    <row r="9" spans="1:9">
      <c r="A9" t="s">
        <v>13</v>
      </c>
      <c r="B9" t="s">
        <v>23</v>
      </c>
      <c r="C9">
        <v>19791700</v>
      </c>
      <c r="D9">
        <v>5497.69</v>
      </c>
      <c r="E9">
        <v>19120428</v>
      </c>
      <c r="F9">
        <v>2321.28</v>
      </c>
      <c r="G9">
        <v>1327.64</v>
      </c>
      <c r="H9">
        <v>655.76</v>
      </c>
      <c r="I9">
        <f>C9/206</f>
        <v>96076.213592233</v>
      </c>
    </row>
    <row r="10" hidden="1" spans="1:9">
      <c r="A10" t="s">
        <v>13</v>
      </c>
      <c r="B10" t="s">
        <v>24</v>
      </c>
      <c r="C10">
        <v>1718984</v>
      </c>
      <c r="D10">
        <v>477.5</v>
      </c>
      <c r="E10">
        <v>1520282</v>
      </c>
      <c r="F10">
        <v>104.72</v>
      </c>
      <c r="G10">
        <v>69.02</v>
      </c>
      <c r="H10">
        <v>494.2</v>
      </c>
    </row>
    <row r="11" hidden="1" spans="1:9">
      <c r="A11" t="s">
        <v>13</v>
      </c>
      <c r="B11" t="s">
        <v>25</v>
      </c>
      <c r="C11">
        <v>336000</v>
      </c>
      <c r="D11">
        <v>93.33</v>
      </c>
      <c r="E11">
        <v>336000</v>
      </c>
      <c r="F11">
        <v>33.48</v>
      </c>
      <c r="G11">
        <v>12.6</v>
      </c>
      <c r="H11">
        <v>0</v>
      </c>
    </row>
  </sheetData>
  <autoFilter xmlns:etc="http://www.wps.cn/officeDocument/2017/etCustomData" ref="A1:H11" etc:filterBottomFollowUsedRange="0">
    <filterColumn colId="1">
      <filters>
        <filter val="身体乳"/>
      </filters>
    </filterColumn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G11" sqref="G11"/>
    </sheetView>
  </sheetViews>
  <sheetFormatPr defaultColWidth="9" defaultRowHeight="16.8" outlineLevelRow="5" outlineLevelCol="3"/>
  <cols>
    <col min="1" max="1" width="18.6923076923077" customWidth="1"/>
  </cols>
  <sheetData>
    <row r="1" spans="1:4">
      <c r="A1" t="s">
        <v>26</v>
      </c>
      <c r="B1" t="s">
        <v>9</v>
      </c>
      <c r="C1" t="s">
        <v>11</v>
      </c>
      <c r="D1" t="s">
        <v>13</v>
      </c>
    </row>
    <row r="2" spans="1:4">
      <c r="A2" t="s">
        <v>27</v>
      </c>
      <c r="B2">
        <v>14</v>
      </c>
      <c r="C2">
        <v>37</v>
      </c>
      <c r="D2">
        <v>34</v>
      </c>
    </row>
    <row r="3" spans="1:4">
      <c r="A3" t="s">
        <v>28</v>
      </c>
      <c r="B3">
        <v>14</v>
      </c>
      <c r="C3">
        <v>98</v>
      </c>
      <c r="D3">
        <v>120</v>
      </c>
    </row>
    <row r="4" spans="1:4">
      <c r="A4" t="s">
        <v>29</v>
      </c>
      <c r="B4">
        <v>3</v>
      </c>
      <c r="C4">
        <v>9</v>
      </c>
      <c r="D4">
        <v>28</v>
      </c>
    </row>
    <row r="5" spans="1:4">
      <c r="A5" t="s">
        <v>30</v>
      </c>
      <c r="B5">
        <v>3</v>
      </c>
      <c r="C5">
        <v>6</v>
      </c>
      <c r="D5">
        <v>24</v>
      </c>
    </row>
    <row r="6" spans="1:4">
      <c r="A6" t="s">
        <v>31</v>
      </c>
      <c r="B6">
        <f>SUM(B2:B5)</f>
        <v>34</v>
      </c>
      <c r="C6">
        <f>SUM(C2:C5)</f>
        <v>150</v>
      </c>
      <c r="D6">
        <f>SUM(D2:D5)</f>
        <v>206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6.8" outlineLevelRow="2" outlineLevelCol="4"/>
  <sheetData>
    <row r="1" spans="1:5">
      <c r="A1" t="s">
        <v>26</v>
      </c>
      <c r="B1" t="s">
        <v>9</v>
      </c>
      <c r="C1" t="s">
        <v>11</v>
      </c>
      <c r="D1" t="s">
        <v>13</v>
      </c>
      <c r="E1" t="s">
        <v>32</v>
      </c>
    </row>
    <row r="2" spans="1:5">
      <c r="A2" t="s">
        <v>27</v>
      </c>
      <c r="B2">
        <v>31</v>
      </c>
      <c r="C2">
        <v>42</v>
      </c>
      <c r="D2">
        <v>35</v>
      </c>
      <c r="E2">
        <v>108</v>
      </c>
    </row>
    <row r="3" spans="1:5">
      <c r="A3" t="s">
        <v>28</v>
      </c>
      <c r="B3">
        <v>19</v>
      </c>
      <c r="C3">
        <v>26</v>
      </c>
      <c r="D3">
        <v>28</v>
      </c>
      <c r="E3">
        <v>73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Weekly Summary</vt:lpstr>
      <vt:lpstr>Category Aggregation</vt:lpstr>
      <vt:lpstr>Quantity Pivot</vt:lpstr>
      <vt:lpstr>Sample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张洁</cp:lastModifiedBy>
  <dcterms:created xsi:type="dcterms:W3CDTF">2026-05-11T22:50:00Z</dcterms:created>
  <dcterms:modified xsi:type="dcterms:W3CDTF">2026-05-11T23:22:56Z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292A20728AA2F73DC1EE016A8A9B4050_42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