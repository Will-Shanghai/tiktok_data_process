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0800"/>
  </bookViews>
  <sheets>
    <sheet name="Weekly Summary" sheetId="1" r:id="rId1"/>
    <sheet name="Category Aggregation" sheetId="2" r:id="rId2"/>
    <sheet name="Quantity Pivot" sheetId="3" r:id="rId3"/>
    <sheet name="Sample Statistic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<sst xmlns="http://schemas.openxmlformats.org/spreadsheetml/2006/main" count="89" uniqueCount="46">
  <si>
    <t>文件名称</t>
  </si>
  <si>
    <t>订单日期</t>
  </si>
  <si>
    <t>销售总额(N+P)</t>
  </si>
  <si>
    <t>汇率后</t>
  </si>
  <si>
    <t>P列折后价总和</t>
  </si>
  <si>
    <t>售出产品成本总和</t>
  </si>
  <si>
    <t>物流成本总和</t>
  </si>
  <si>
    <t>寄样支出总和</t>
  </si>
  <si>
    <t>越南跨境店-2月份.csv</t>
  </si>
  <si>
    <t>28/02/2026</t>
  </si>
  <si>
    <t>越南跨境店-3月份.csv</t>
  </si>
  <si>
    <t>31/03/2026</t>
  </si>
  <si>
    <t>越南跨境店-4月份.csv</t>
  </si>
  <si>
    <t>30/04/2026</t>
  </si>
  <si>
    <t>越南跨境店-5月份.csv</t>
  </si>
  <si>
    <t>31/05/2026</t>
  </si>
  <si>
    <t>日期</t>
  </si>
  <si>
    <t>大类</t>
  </si>
  <si>
    <t>销售额</t>
  </si>
  <si>
    <t>汇率后(销售额)</t>
  </si>
  <si>
    <t>P列折后价</t>
  </si>
  <si>
    <t>产品成本</t>
  </si>
  <si>
    <t>物流成本</t>
  </si>
  <si>
    <t>寄样支出</t>
  </si>
  <si>
    <t>精华液</t>
  </si>
  <si>
    <t>身体乳</t>
  </si>
  <si>
    <t>身体乳300ml</t>
  </si>
  <si>
    <t>防晒霜</t>
  </si>
  <si>
    <t>其他</t>
  </si>
  <si>
    <t>商品名称</t>
  </si>
  <si>
    <t>身体乳300ml单瓶</t>
  </si>
  <si>
    <t>身体乳300ml双瓶</t>
  </si>
  <si>
    <t>身体乳300ml三瓶</t>
  </si>
  <si>
    <t>身体乳单瓶</t>
  </si>
  <si>
    <t>身体乳双瓶</t>
  </si>
  <si>
    <t>身体乳三瓶</t>
  </si>
  <si>
    <t>防晒霜单瓶</t>
  </si>
  <si>
    <t>防晒霜双瓶</t>
  </si>
  <si>
    <t>精华液单瓶</t>
  </si>
  <si>
    <t>精华液双瓶</t>
  </si>
  <si>
    <t>精华液三瓶</t>
  </si>
  <si>
    <t>唇部精华单支</t>
  </si>
  <si>
    <t>唇部精华双支</t>
  </si>
  <si>
    <t>精华液&amp;黑鸦片</t>
  </si>
  <si>
    <t>汇总</t>
  </si>
  <si>
    <t>总样品数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</si>
</sst>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"/>
  <sheetViews>
    <sheetView tabSelected="1" workbookViewId="0">
      <selection activeCell="H9" sqref="H9"/>
    </sheetView>
  </sheetViews>
  <sheetFormatPr defaultColWidth="9" defaultRowHeight="16.8"/>
  <cols>
    <col min="3" max="3" width="14.0769230769231"/>
    <col min="6" max="6" width="14.076923076923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0">
      <c r="A2" t="s">
        <v>8</v>
      </c>
      <c r="B2" t="s">
        <v>9</v>
      </c>
      <c r="C2">
        <v>27182545</v>
      </c>
      <c r="D2">
        <v>7000.4</v>
      </c>
      <c r="E2">
        <v>24022415</v>
      </c>
      <c r="F2">
        <v>2009.22</v>
      </c>
      <c r="G2">
        <v>1148.09</v>
      </c>
      <c r="H2">
        <v>626.51</v>
      </c>
      <c r="J2">
        <v>226</v>
      </c>
    </row>
    <row r="3" spans="1:10">
      <c r="A3" t="s">
        <v>10</v>
      </c>
      <c r="B3" t="s">
        <v>11</v>
      </c>
      <c r="C3">
        <v>45388603</v>
      </c>
      <c r="D3">
        <v>11689.06</v>
      </c>
      <c r="E3">
        <v>39534105</v>
      </c>
      <c r="F3">
        <v>3053.19</v>
      </c>
      <c r="G3">
        <v>1506.09</v>
      </c>
      <c r="H3">
        <v>848.82</v>
      </c>
      <c r="J3">
        <v>354</v>
      </c>
    </row>
    <row r="4" spans="1:10">
      <c r="A4" t="s">
        <v>12</v>
      </c>
      <c r="B4" t="s">
        <v>13</v>
      </c>
      <c r="C4">
        <v>27415304</v>
      </c>
      <c r="D4">
        <v>7060.34</v>
      </c>
      <c r="E4">
        <v>21991048</v>
      </c>
      <c r="F4">
        <v>2129.5</v>
      </c>
      <c r="G4">
        <v>1169.09</v>
      </c>
      <c r="H4">
        <v>677.83</v>
      </c>
      <c r="J4">
        <v>234</v>
      </c>
    </row>
    <row r="5" spans="1:10">
      <c r="A5" t="s">
        <v>14</v>
      </c>
      <c r="B5" t="s">
        <v>15</v>
      </c>
      <c r="C5">
        <v>20885615</v>
      </c>
      <c r="D5">
        <v>5378.73</v>
      </c>
      <c r="E5">
        <v>18888924</v>
      </c>
      <c r="F5">
        <v>2643.58</v>
      </c>
      <c r="G5">
        <v>1460.5</v>
      </c>
      <c r="H5">
        <v>429.48</v>
      </c>
      <c r="J5">
        <v>334</v>
      </c>
    </row>
    <row r="6" spans="1:10">
      <c r="C6">
        <f>C2/J2</f>
        <v>120276.747787611</v>
      </c>
      <c r="E6">
        <v>-1996.66</v>
      </c>
      <c r="F6">
        <f>E6/J2</f>
        <v>-8.83477876106195</v>
      </c>
    </row>
    <row r="7" spans="1:10">
      <c r="C7">
        <f>C3/J3</f>
        <v>128216.392655367</v>
      </c>
      <c r="E7">
        <v>-2641.42</v>
      </c>
      <c r="F7">
        <f>E7/J3</f>
        <v>-7.4616384180791</v>
      </c>
    </row>
    <row r="8" spans="1:10">
      <c r="C8">
        <f>C4/J4</f>
        <v>117159.418803419</v>
      </c>
      <c r="E8">
        <v>-2264</v>
      </c>
      <c r="F8">
        <f>E8/J4</f>
        <v>-9.67521367521367</v>
      </c>
    </row>
    <row r="9" spans="1:10">
      <c r="C9">
        <f>C5/J5</f>
        <v>62531.7814371257</v>
      </c>
      <c r="E9" s="1">
        <v>-3141.18</v>
      </c>
      <c r="F9">
        <f>E9/J5</f>
        <v>-9.40473053892216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" sqref="A1"/>
    </sheetView>
  </sheetViews>
  <sheetFormatPr defaultColWidth="9" defaultRowHeight="16.8" outlineLevelCol="7"/>
  <sheetData>
    <row r="1" spans="1:8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</row>
    <row r="2" spans="1:8">
      <c r="A2" t="s">
        <v>9</v>
      </c>
      <c r="B2" t="s">
        <v>24</v>
      </c>
      <c r="C2">
        <v>9117433</v>
      </c>
      <c r="D2">
        <v>2348.04</v>
      </c>
      <c r="E2">
        <v>7987765</v>
      </c>
      <c r="F2">
        <v>424.16</v>
      </c>
      <c r="G2">
        <v>162.75</v>
      </c>
      <c r="H2">
        <v>626.51</v>
      </c>
    </row>
    <row r="3" spans="1:8">
      <c r="A3" t="s">
        <v>9</v>
      </c>
      <c r="B3" t="s">
        <v>25</v>
      </c>
      <c r="C3">
        <v>15289838</v>
      </c>
      <c r="D3">
        <v>3937.64</v>
      </c>
      <c r="E3">
        <v>13816758</v>
      </c>
      <c r="F3">
        <v>1488.24</v>
      </c>
      <c r="G3">
        <v>926.26</v>
      </c>
      <c r="H3">
        <v>0</v>
      </c>
    </row>
    <row r="4" spans="1:8">
      <c r="A4" t="s">
        <v>9</v>
      </c>
      <c r="B4" t="s">
        <v>26</v>
      </c>
      <c r="C4">
        <v>2199600</v>
      </c>
      <c r="D4">
        <v>566.47</v>
      </c>
      <c r="E4">
        <v>1684974</v>
      </c>
      <c r="F4">
        <v>80.08</v>
      </c>
      <c r="G4">
        <v>52.78</v>
      </c>
      <c r="H4">
        <v>0</v>
      </c>
    </row>
    <row r="5" spans="1:8">
      <c r="A5" t="s">
        <v>9</v>
      </c>
      <c r="B5" t="s">
        <v>27</v>
      </c>
      <c r="C5">
        <v>575674</v>
      </c>
      <c r="D5">
        <v>148.25</v>
      </c>
      <c r="E5">
        <v>532918</v>
      </c>
      <c r="F5">
        <v>16.74</v>
      </c>
      <c r="G5">
        <v>6.3</v>
      </c>
      <c r="H5">
        <v>0</v>
      </c>
    </row>
    <row r="6" spans="1:8">
      <c r="A6" t="s">
        <v>11</v>
      </c>
      <c r="B6" t="s">
        <v>24</v>
      </c>
      <c r="C6">
        <v>27063823</v>
      </c>
      <c r="D6">
        <v>6969.82</v>
      </c>
      <c r="E6">
        <v>23990732</v>
      </c>
      <c r="F6">
        <v>1310.98</v>
      </c>
      <c r="G6">
        <v>470.48</v>
      </c>
      <c r="H6">
        <v>848.82</v>
      </c>
    </row>
    <row r="7" spans="1:8">
      <c r="A7" t="s">
        <v>11</v>
      </c>
      <c r="B7" t="s">
        <v>25</v>
      </c>
      <c r="C7">
        <v>16663381</v>
      </c>
      <c r="D7">
        <v>4291.37</v>
      </c>
      <c r="E7">
        <v>14214811</v>
      </c>
      <c r="F7">
        <v>1666.08</v>
      </c>
      <c r="G7">
        <v>987.8</v>
      </c>
      <c r="H7">
        <v>0</v>
      </c>
    </row>
    <row r="8" spans="1:8">
      <c r="A8" t="s">
        <v>11</v>
      </c>
      <c r="B8" t="s">
        <v>26</v>
      </c>
      <c r="C8">
        <v>1558600</v>
      </c>
      <c r="D8">
        <v>401.39</v>
      </c>
      <c r="E8">
        <v>1225763</v>
      </c>
      <c r="F8">
        <v>67.76</v>
      </c>
      <c r="G8">
        <v>44.66</v>
      </c>
      <c r="H8">
        <v>0</v>
      </c>
    </row>
    <row r="9" spans="1:8">
      <c r="A9" t="s">
        <v>11</v>
      </c>
      <c r="B9" t="s">
        <v>27</v>
      </c>
      <c r="C9">
        <v>102799</v>
      </c>
      <c r="D9">
        <v>26.47</v>
      </c>
      <c r="E9">
        <v>102799</v>
      </c>
      <c r="F9">
        <v>8.37</v>
      </c>
      <c r="G9">
        <v>3.15</v>
      </c>
      <c r="H9">
        <v>0</v>
      </c>
    </row>
    <row r="10" spans="1:8">
      <c r="A10" t="s">
        <v>13</v>
      </c>
      <c r="B10" t="s">
        <v>28</v>
      </c>
      <c r="C10">
        <v>376700</v>
      </c>
      <c r="D10">
        <v>97.01</v>
      </c>
      <c r="E10">
        <v>316700</v>
      </c>
      <c r="F10">
        <v>26.6</v>
      </c>
      <c r="G10">
        <v>14</v>
      </c>
      <c r="H10">
        <v>516.15</v>
      </c>
    </row>
    <row r="11" spans="1:8">
      <c r="A11" t="s">
        <v>13</v>
      </c>
      <c r="B11" t="s">
        <v>24</v>
      </c>
      <c r="C11">
        <v>9889076</v>
      </c>
      <c r="D11">
        <v>2546.76</v>
      </c>
      <c r="E11">
        <v>8280051</v>
      </c>
      <c r="F11">
        <v>487.08</v>
      </c>
      <c r="G11">
        <v>173.34</v>
      </c>
      <c r="H11">
        <v>161.68</v>
      </c>
    </row>
    <row r="12" spans="1:8">
      <c r="A12" t="s">
        <v>13</v>
      </c>
      <c r="B12" t="s">
        <v>25</v>
      </c>
      <c r="C12">
        <v>15528534</v>
      </c>
      <c r="D12">
        <v>3999.11</v>
      </c>
      <c r="E12">
        <v>12116515</v>
      </c>
      <c r="F12">
        <v>1516.32</v>
      </c>
      <c r="G12">
        <v>930.37</v>
      </c>
      <c r="H12">
        <v>0</v>
      </c>
    </row>
    <row r="13" spans="1:8">
      <c r="A13" t="s">
        <v>13</v>
      </c>
      <c r="B13" t="s">
        <v>26</v>
      </c>
      <c r="C13">
        <v>1004200</v>
      </c>
      <c r="D13">
        <v>258.61</v>
      </c>
      <c r="E13">
        <v>737156</v>
      </c>
      <c r="F13">
        <v>49.28</v>
      </c>
      <c r="G13">
        <v>32.48</v>
      </c>
      <c r="H13">
        <v>0</v>
      </c>
    </row>
    <row r="14" spans="1:8">
      <c r="A14" t="s">
        <v>13</v>
      </c>
      <c r="B14" t="s">
        <v>27</v>
      </c>
      <c r="C14">
        <v>616794</v>
      </c>
      <c r="D14">
        <v>158.84</v>
      </c>
      <c r="E14">
        <v>540626</v>
      </c>
      <c r="F14">
        <v>50.22</v>
      </c>
      <c r="G14">
        <v>18.9</v>
      </c>
      <c r="H14">
        <v>0</v>
      </c>
    </row>
    <row r="15" spans="1:8">
      <c r="A15" t="s">
        <v>15</v>
      </c>
      <c r="B15" t="s">
        <v>28</v>
      </c>
      <c r="C15">
        <v>10006830</v>
      </c>
      <c r="D15">
        <v>2577.09</v>
      </c>
      <c r="E15">
        <v>9696669</v>
      </c>
      <c r="F15">
        <v>1556.1</v>
      </c>
      <c r="G15">
        <v>816</v>
      </c>
      <c r="H15">
        <v>345.1</v>
      </c>
    </row>
    <row r="16" spans="1:8">
      <c r="A16" t="s">
        <v>15</v>
      </c>
      <c r="B16" t="s">
        <v>25</v>
      </c>
      <c r="C16">
        <v>9847172</v>
      </c>
      <c r="D16">
        <v>2535.97</v>
      </c>
      <c r="E16">
        <v>8327063</v>
      </c>
      <c r="F16">
        <v>1010.88</v>
      </c>
      <c r="G16">
        <v>603.48</v>
      </c>
      <c r="H16">
        <v>70.26</v>
      </c>
    </row>
    <row r="17" spans="1:8">
      <c r="A17" t="s">
        <v>15</v>
      </c>
      <c r="B17" t="s">
        <v>26</v>
      </c>
      <c r="C17">
        <v>635417</v>
      </c>
      <c r="D17">
        <v>163.64</v>
      </c>
      <c r="E17">
        <v>525996</v>
      </c>
      <c r="F17">
        <v>43.12</v>
      </c>
      <c r="G17">
        <v>28.42</v>
      </c>
      <c r="H17">
        <v>14.12</v>
      </c>
    </row>
    <row r="18" spans="1:8">
      <c r="A18" t="s">
        <v>15</v>
      </c>
      <c r="B18" t="s">
        <v>27</v>
      </c>
      <c r="C18">
        <v>396196</v>
      </c>
      <c r="D18">
        <v>102.03</v>
      </c>
      <c r="E18">
        <v>339196</v>
      </c>
      <c r="F18">
        <v>33.48</v>
      </c>
      <c r="G18">
        <v>12.6</v>
      </c>
      <c r="H18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"/>
  <sheetViews>
    <sheetView workbookViewId="0">
      <selection activeCell="B16" sqref="B16:E16"/>
    </sheetView>
  </sheetViews>
  <sheetFormatPr defaultColWidth="9" defaultRowHeight="16.8" outlineLevelCol="4"/>
  <sheetData>
    <row r="1" spans="1:5">
      <c r="A1" t="s">
        <v>29</v>
      </c>
      <c r="B1" t="s">
        <v>9</v>
      </c>
      <c r="C1" t="s">
        <v>11</v>
      </c>
      <c r="D1" t="s">
        <v>13</v>
      </c>
      <c r="E1" t="s">
        <v>15</v>
      </c>
    </row>
    <row r="2" spans="1:5">
      <c r="A2" t="s">
        <v>30</v>
      </c>
      <c r="B2">
        <v>26</v>
      </c>
      <c r="C2">
        <v>22</v>
      </c>
      <c r="D2">
        <v>16</v>
      </c>
      <c r="E2">
        <v>14</v>
      </c>
    </row>
    <row r="3" spans="1:5">
      <c r="A3" t="s">
        <v>31</v>
      </c>
      <c r="B3">
        <v>4</v>
      </c>
      <c r="C3">
        <v>2</v>
      </c>
      <c r="D3">
        <v>2</v>
      </c>
      <c r="E3">
        <v>0</v>
      </c>
    </row>
    <row r="4" spans="1:5">
      <c r="A4" t="s">
        <v>32</v>
      </c>
      <c r="B4">
        <v>1</v>
      </c>
      <c r="C4">
        <v>1</v>
      </c>
      <c r="D4">
        <v>0</v>
      </c>
      <c r="E4">
        <v>0</v>
      </c>
    </row>
    <row r="5" spans="1:5">
      <c r="A5" t="s">
        <v>33</v>
      </c>
      <c r="B5">
        <v>120</v>
      </c>
      <c r="C5">
        <v>105</v>
      </c>
      <c r="D5">
        <v>113</v>
      </c>
      <c r="E5">
        <v>66</v>
      </c>
    </row>
    <row r="6" spans="1:5">
      <c r="A6" t="s">
        <v>34</v>
      </c>
      <c r="B6">
        <v>12</v>
      </c>
      <c r="C6">
        <v>20</v>
      </c>
      <c r="D6">
        <v>17</v>
      </c>
      <c r="E6">
        <v>12</v>
      </c>
    </row>
    <row r="7" spans="1:5">
      <c r="A7" t="s">
        <v>35</v>
      </c>
      <c r="B7">
        <v>5</v>
      </c>
      <c r="C7">
        <v>11</v>
      </c>
      <c r="D7">
        <v>5</v>
      </c>
      <c r="E7">
        <v>6</v>
      </c>
    </row>
    <row r="8" spans="1:5">
      <c r="A8" t="s">
        <v>36</v>
      </c>
      <c r="B8">
        <v>2</v>
      </c>
      <c r="C8">
        <v>1</v>
      </c>
      <c r="D8">
        <v>6</v>
      </c>
      <c r="E8">
        <v>4</v>
      </c>
    </row>
    <row r="9" spans="1:5">
      <c r="A9" t="s">
        <v>37</v>
      </c>
      <c r="B9">
        <v>2</v>
      </c>
      <c r="C9">
        <v>0</v>
      </c>
      <c r="D9">
        <v>0</v>
      </c>
      <c r="E9">
        <v>0</v>
      </c>
    </row>
    <row r="10" spans="1:5">
      <c r="A10" t="s">
        <v>38</v>
      </c>
      <c r="B10">
        <v>43</v>
      </c>
      <c r="C10">
        <v>144</v>
      </c>
      <c r="D10">
        <v>54</v>
      </c>
      <c r="E10">
        <v>0</v>
      </c>
    </row>
    <row r="11" spans="1:5">
      <c r="A11" t="s">
        <v>39</v>
      </c>
      <c r="B11">
        <v>6</v>
      </c>
      <c r="C11">
        <v>31</v>
      </c>
      <c r="D11">
        <v>12</v>
      </c>
      <c r="E11">
        <v>0</v>
      </c>
    </row>
    <row r="12" spans="1:5">
      <c r="A12" t="s">
        <v>40</v>
      </c>
      <c r="B12">
        <v>2</v>
      </c>
      <c r="C12">
        <v>16</v>
      </c>
      <c r="D12">
        <v>5</v>
      </c>
      <c r="E12">
        <v>0</v>
      </c>
    </row>
    <row r="13" spans="1:5">
      <c r="A13" t="s">
        <v>41</v>
      </c>
      <c r="B13">
        <v>0</v>
      </c>
      <c r="C13">
        <v>0</v>
      </c>
      <c r="D13">
        <v>4</v>
      </c>
      <c r="E13">
        <v>230</v>
      </c>
    </row>
    <row r="14" spans="1:5">
      <c r="A14" t="s">
        <v>42</v>
      </c>
      <c r="B14">
        <v>0</v>
      </c>
      <c r="C14">
        <v>0</v>
      </c>
      <c r="D14">
        <v>0</v>
      </c>
      <c r="E14">
        <v>2</v>
      </c>
    </row>
    <row r="15" spans="1:5">
      <c r="A15" t="s">
        <v>43</v>
      </c>
      <c r="B15">
        <v>3</v>
      </c>
      <c r="C15">
        <v>1</v>
      </c>
      <c r="D15">
        <v>0</v>
      </c>
      <c r="E15">
        <v>0</v>
      </c>
    </row>
    <row r="16" spans="1:5">
      <c r="A16" t="s">
        <v>44</v>
      </c>
      <c r="B16">
        <v>226</v>
      </c>
      <c r="C16">
        <v>354</v>
      </c>
      <c r="D16">
        <v>234</v>
      </c>
      <c r="E16">
        <v>334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selection activeCell="A1" sqref="A1"/>
    </sheetView>
  </sheetViews>
  <sheetFormatPr defaultColWidth="9" defaultRowHeight="16.8" outlineLevelRow="5" outlineLevelCol="5"/>
  <sheetData>
    <row r="1" spans="1:6">
      <c r="A1" t="s">
        <v>29</v>
      </c>
      <c r="B1" t="s">
        <v>9</v>
      </c>
      <c r="C1" t="s">
        <v>11</v>
      </c>
      <c r="D1" t="s">
        <v>13</v>
      </c>
      <c r="E1" t="s">
        <v>15</v>
      </c>
      <c r="F1" t="s">
        <v>45</v>
      </c>
    </row>
    <row r="2" spans="1:6">
      <c r="A2" t="s">
        <v>41</v>
      </c>
      <c r="B2">
        <v>0</v>
      </c>
      <c r="C2">
        <v>0</v>
      </c>
      <c r="D2">
        <v>49</v>
      </c>
      <c r="E2">
        <v>34</v>
      </c>
      <c r="F2">
        <v>83</v>
      </c>
    </row>
    <row r="3" spans="1:6">
      <c r="A3" t="s">
        <v>38</v>
      </c>
      <c r="B3">
        <v>31</v>
      </c>
      <c r="C3">
        <v>42</v>
      </c>
      <c r="D3">
        <v>8</v>
      </c>
      <c r="E3">
        <v>0</v>
      </c>
      <c r="F3">
        <v>81</v>
      </c>
    </row>
    <row r="4" spans="1:6">
      <c r="A4" t="s">
        <v>33</v>
      </c>
      <c r="B4">
        <v>0</v>
      </c>
      <c r="C4">
        <v>0</v>
      </c>
      <c r="D4">
        <v>0</v>
      </c>
      <c r="E4">
        <v>3</v>
      </c>
      <c r="F4">
        <v>3</v>
      </c>
    </row>
    <row r="5" spans="1:6">
      <c r="A5" t="s">
        <v>42</v>
      </c>
      <c r="B5">
        <v>0</v>
      </c>
      <c r="C5">
        <v>0</v>
      </c>
      <c r="D5">
        <v>1</v>
      </c>
      <c r="E5">
        <v>0</v>
      </c>
      <c r="F5">
        <v>1</v>
      </c>
    </row>
    <row r="6" spans="1:6">
      <c r="A6" t="s">
        <v>30</v>
      </c>
      <c r="B6">
        <v>0</v>
      </c>
      <c r="C6">
        <v>0</v>
      </c>
      <c r="D6">
        <v>0</v>
      </c>
      <c r="E6">
        <v>1</v>
      </c>
      <c r="F6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Weekly Summary</vt:lpstr>
      <vt:lpstr>Category Aggregation</vt:lpstr>
      <vt:lpstr>Quantity Pivot</vt:lpstr>
      <vt:lpstr>Sample Statistics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张洁</cp:lastModifiedBy>
  <dcterms:created xsi:type="dcterms:W3CDTF">2026-06-08T20:53:00Z</dcterms:created>
  <dcterms:modified xsi:type="dcterms:W3CDTF">2026-06-08T21:22:33Z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4BBA807ECF2832B919C2266A9DAB3F9B_42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